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Base Pricing" sheetId="3" state="visible" r:id="rId5"/>
    <sheet name="Gap Closu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<sst xmlns="http://schemas.openxmlformats.org/spreadsheetml/2006/main" count="162" uniqueCount="140">
  <si>
    <t xml:space="preserve">Proposal Summary: Marlow Basin Water District RFP 2026-14</t>
  </si>
  <si>
    <t xml:space="preserve">Corvane Inspect, 3-year initial term. All values in US dollars. Prepared by Deal Desk, October 2026.</t>
  </si>
  <si>
    <t xml:space="preserve">Measure</t>
  </si>
  <si>
    <t xml:space="preserve">Value</t>
  </si>
  <si>
    <t xml:space="preserve">Calculation</t>
  </si>
  <si>
    <t xml:space="preserve">Base proposal (licenses, add-ons, services)</t>
  </si>
  <si>
    <t xml:space="preserve">Base Pricing, 3-year total</t>
  </si>
  <si>
    <t xml:space="preserve">Gap closure (custom development)</t>
  </si>
  <si>
    <t xml:space="preserve">Gap Closure, 3-year total</t>
  </si>
  <si>
    <t xml:space="preserve">Subtotal before discount</t>
  </si>
  <si>
    <t xml:space="preserve">Base plus gap closure</t>
  </si>
  <si>
    <t xml:space="preserve">Subscription discount rate</t>
  </si>
  <si>
    <t xml:space="preserve">Inputs</t>
  </si>
  <si>
    <t xml:space="preserve">Discount amount</t>
  </si>
  <si>
    <t xml:space="preserve">Discount rate times 3-year user subscriptions</t>
  </si>
  <si>
    <t xml:space="preserve">Total proposal price (3 years)</t>
  </si>
  <si>
    <t xml:space="preserve">Subtotal less discount</t>
  </si>
  <si>
    <t xml:space="preserve">District budget, not to exceed</t>
  </si>
  <si>
    <t xml:space="preserve">RFP Section 5</t>
  </si>
  <si>
    <t xml:space="preserve">Headroom under budget</t>
  </si>
  <si>
    <t xml:space="preserve">Budget less total proposal price</t>
  </si>
  <si>
    <t xml:space="preserve">Within budget?</t>
  </si>
  <si>
    <t xml:space="preserve">Proposals over budget may be non-responsive</t>
  </si>
  <si>
    <t xml:space="preserve">Discount approval needed</t>
  </si>
  <si>
    <t xml:space="preserve">Pricing guardrails on Inputs</t>
  </si>
  <si>
    <t xml:space="preserve">Annual invoicing view (before discount)</t>
  </si>
  <si>
    <t xml:space="preserve">Year</t>
  </si>
  <si>
    <t xml:space="preserve">Amount ($)</t>
  </si>
  <si>
    <t xml:space="preserve">Notes</t>
  </si>
  <si>
    <t xml:space="preserve">Year 1</t>
  </si>
  <si>
    <t xml:space="preserve">Includes all one-time fees</t>
  </si>
  <si>
    <t xml:space="preserve">Year 2</t>
  </si>
  <si>
    <t xml:space="preserve">Recurring only</t>
  </si>
  <si>
    <t xml:space="preserve">Year 3</t>
  </si>
  <si>
    <t xml:space="preserve">Check: equals subtotal before discount</t>
  </si>
  <si>
    <t xml:space="preserve">Discount scenarios</t>
  </si>
  <si>
    <t xml:space="preserve">Subscription discount</t>
  </si>
  <si>
    <t xml:space="preserve">Total price ($)</t>
  </si>
  <si>
    <t xml:space="preserve">Headroom under budget ($)</t>
  </si>
  <si>
    <t xml:space="preserve">Discounts above 10% need VP Sales approval; the maximum is 15% (FY27 guardrails).</t>
  </si>
  <si>
    <t xml:space="preserve">Fictional sample document for product demonstration. All names, organizations and figures are invented.</t>
  </si>
  <si>
    <t xml:space="preserve">Inputs and Assumptions: MBWD RFP 2026-14</t>
  </si>
  <si>
    <t xml:space="preserve">Blue cells are inputs. Yellow cells are key assumptions that drive the proposal. Change inputs here only.</t>
  </si>
  <si>
    <t xml:space="preserve">Input</t>
  </si>
  <si>
    <t xml:space="preserve">Source or note</t>
  </si>
  <si>
    <t xml:space="preserve">Field users</t>
  </si>
  <si>
    <t xml:space="preserve">RFP Section 1.2</t>
  </si>
  <si>
    <t xml:space="preserve">Office users</t>
  </si>
  <si>
    <t xml:space="preserve">Initial term (years)</t>
  </si>
  <si>
    <t xml:space="preserve">District budget, not to exceed (initial term)</t>
  </si>
  <si>
    <t xml:space="preserve">RFP Section 5; includes all licenses, services and custom development</t>
  </si>
  <si>
    <t xml:space="preserve">Subscription discount offered</t>
  </si>
  <si>
    <t xml:space="preserve">Applies to field and office user subscriptions only. Default 0%; see Discount Scenarios</t>
  </si>
  <si>
    <t xml:space="preserve">Discount requiring VP Sales approval (above)</t>
  </si>
  <si>
    <t xml:space="preserve">Corvane pricing guardrail, FY27 price book</t>
  </si>
  <si>
    <t xml:space="preserve">Maximum discount allowed</t>
  </si>
  <si>
    <t xml:space="preserve">Renewal price increase cap</t>
  </si>
  <si>
    <t xml:space="preserve">RFP Section 5 (option years only)</t>
  </si>
  <si>
    <t xml:space="preserve">Base Proposal Pricing: Corvane Inspect for MBWD ($, 3-year initial term)</t>
  </si>
  <si>
    <t xml:space="preserve">Standard FY27 price book. Excludes custom development to close RFP gaps (see Gap Closure).</t>
  </si>
  <si>
    <t xml:space="preserve">Line item</t>
  </si>
  <si>
    <t xml:space="preserve">Type</t>
  </si>
  <si>
    <t xml:space="preserve">Qty</t>
  </si>
  <si>
    <t xml:space="preserve">Unit</t>
  </si>
  <si>
    <t xml:space="preserve">Unit price ($)</t>
  </si>
  <si>
    <t xml:space="preserve">Year 1 ($)</t>
  </si>
  <si>
    <t xml:space="preserve">Year 2 ($)</t>
  </si>
  <si>
    <t xml:space="preserve">Year 3 ($)</t>
  </si>
  <si>
    <t xml:space="preserve">3-year total ($)</t>
  </si>
  <si>
    <t xml:space="preserve">RFP reference</t>
  </si>
  <si>
    <t xml:space="preserve">Field user subscription</t>
  </si>
  <si>
    <t xml:space="preserve">Subscription</t>
  </si>
  <si>
    <t xml:space="preserve">per user per month</t>
  </si>
  <si>
    <t xml:space="preserve">R-01 to R-12</t>
  </si>
  <si>
    <t xml:space="preserve">Office user subscription</t>
  </si>
  <si>
    <t xml:space="preserve">Web console users</t>
  </si>
  <si>
    <t xml:space="preserve">GIS Connector add-on (Esri ArcGIS)</t>
  </si>
  <si>
    <t xml:space="preserve">Add-on</t>
  </si>
  <si>
    <t xml:space="preserve">per year</t>
  </si>
  <si>
    <t xml:space="preserve">R-04</t>
  </si>
  <si>
    <t xml:space="preserve">Maximo Connector add-on</t>
  </si>
  <si>
    <t xml:space="preserve">R-05</t>
  </si>
  <si>
    <t xml:space="preserve">Archive add-on (10-year retention)</t>
  </si>
  <si>
    <t xml:space="preserve">R-19 (default retention is 5 years)</t>
  </si>
  <si>
    <t xml:space="preserve">Implementation and data migration</t>
  </si>
  <si>
    <t xml:space="preserve">One-time</t>
  </si>
  <si>
    <t xml:space="preserve">fixed fee</t>
  </si>
  <si>
    <t xml:space="preserve">Section 3, R-24</t>
  </si>
  <si>
    <t xml:space="preserve">Train-the-trainer program</t>
  </si>
  <si>
    <t xml:space="preserve">R-23</t>
  </si>
  <si>
    <t xml:space="preserve">On-site field training sessions</t>
  </si>
  <si>
    <t xml:space="preserve">per session</t>
  </si>
  <si>
    <t xml:space="preserve">Base proposal total</t>
  </si>
  <si>
    <t xml:space="preserve">of which: user subscriptions (discountable)</t>
  </si>
  <si>
    <t xml:space="preserve">Note: unit prices are FY27 list prices. Subscriptions are invoiced annually in advance; one-time fees against milestones (RFP Section 5).</t>
  </si>
  <si>
    <t xml:space="preserve">Gap Closure: custom development to meet Mandatory RFP requirements ($)</t>
  </si>
  <si>
    <t xml:space="preserve">Engineering estimates from Product Management, September 2026. Priced to the District as custom development line items.</t>
  </si>
  <si>
    <t xml:space="preserve">RFP req.</t>
  </si>
  <si>
    <t xml:space="preserve">Gap in Corvane Inspect 6.2</t>
  </si>
  <si>
    <t xml:space="preserve">Approach to close</t>
  </si>
  <si>
    <t xml:space="preserve">One-time ($)</t>
  </si>
  <si>
    <t xml:space="preserve">Annual ($)</t>
  </si>
  <si>
    <t xml:space="preserve">Delivery</t>
  </si>
  <si>
    <t xml:space="preserve">Owner</t>
  </si>
  <si>
    <t xml:space="preserve">Status</t>
  </si>
  <si>
    <t xml:space="preserve">R-06</t>
  </si>
  <si>
    <t xml:space="preserve">Offline window is 24 hours; RFP requires 72 hours</t>
  </si>
  <si>
    <t xml:space="preserve">Extend offline cache and lock window to 96 hours (configurable)</t>
  </si>
  <si>
    <t xml:space="preserve">14 weeks from award</t>
  </si>
  <si>
    <t xml:space="preserve">Priya Raman</t>
  </si>
  <si>
    <t xml:space="preserve">Estimate; engineering to confirm by Oct 8</t>
  </si>
  <si>
    <t xml:space="preserve">R-10</t>
  </si>
  <si>
    <t xml:space="preserve">UI is English only; RFP requires Spanish UI</t>
  </si>
  <si>
    <t xml:space="preserve">Accelerate Spanish UI from release 7.0 for MBWD go-live</t>
  </si>
  <si>
    <t xml:space="preserve">Before go-live</t>
  </si>
  <si>
    <t xml:space="preserve">Committed on roadmap; acceleration fee</t>
  </si>
  <si>
    <t xml:space="preserve">District forms need Spanish content</t>
  </si>
  <si>
    <t xml:space="preserve">Translate and configure 35 District form templates</t>
  </si>
  <si>
    <t xml:space="preserve">During configuration</t>
  </si>
  <si>
    <t xml:space="preserve">Implementation team</t>
  </si>
  <si>
    <t xml:space="preserve">Fixed fee</t>
  </si>
  <si>
    <t xml:space="preserve">R-14</t>
  </si>
  <si>
    <t xml:space="preserve">No SCIM 2.0; manual or CSV deprovisioning</t>
  </si>
  <si>
    <t xml:space="preserve">Accelerate SCIM 2.0 provisioning connector</t>
  </si>
  <si>
    <t xml:space="preserve">12 weeks from award</t>
  </si>
  <si>
    <t xml:space="preserve">Not committed on roadmap; needs VP Eng sign-off</t>
  </si>
  <si>
    <t xml:space="preserve">R-17</t>
  </si>
  <si>
    <t xml:space="preserve">Vendor-managed keys only; RFP requires customer-managed keys</t>
  </si>
  <si>
    <t xml:space="preserve">Customer-managed key integration plus dedicated key hosting</t>
  </si>
  <si>
    <t xml:space="preserve">16 weeks from award</t>
  </si>
  <si>
    <t xml:space="preserve">Engineering</t>
  </si>
  <si>
    <t xml:space="preserve">Under evaluation; highest risk item</t>
  </si>
  <si>
    <t xml:space="preserve">R-20</t>
  </si>
  <si>
    <t xml:space="preserve">Incident notice is 5 business days; RFP requires 72 hours</t>
  </si>
  <si>
    <t xml:space="preserve">Contract amendment to 72-hour notification for MBWD</t>
  </si>
  <si>
    <t xml:space="preserve">At contract</t>
  </si>
  <si>
    <t xml:space="preserve">Lena Ortiz</t>
  </si>
  <si>
    <t xml:space="preserve">Needs Legal and Security Ops approval</t>
  </si>
  <si>
    <t xml:space="preserve">Total gap closure</t>
  </si>
  <si>
    <t xml:space="preserve">Not costed: R-25 (10-hour shift battery, Desirable). Low-power location mode ships in 6.3, Q1 2027, at no charge.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</si>
</sst>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@"/>
    <numFmt numFmtId="168" formatCode="0%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3B9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3B98"/>
        <bgColor rgb="FF555555"/>
      </patternFill>
    </fill>
    <fill>
      <patternFill patternType="solid">
        <fgColor rgb="FFEEF0F8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3B3B9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0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B3B9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'Base Pricing'!$I$13</f>
        <v>658020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f aca="false">'Gap Closure'!$F$11</f>
        <v>337500</v>
      </c>
      <c r="C6" s="2" t="s">
        <v>8</v>
      </c>
    </row>
    <row r="7" customFormat="false" ht="15" hidden="false" customHeight="false" outlineLevel="0" collapsed="false">
      <c r="A7" s="4" t="s">
        <v>9</v>
      </c>
      <c r="B7" s="6" t="n">
        <f aca="false">B5+B6</f>
        <v>995520</v>
      </c>
      <c r="C7" s="2" t="s">
        <v>10</v>
      </c>
    </row>
    <row r="8" customFormat="false" ht="15" hidden="false" customHeight="false" outlineLevel="0" collapsed="false">
      <c r="A8" s="4" t="s">
        <v>11</v>
      </c>
      <c r="B8" s="7" t="n">
        <f aca="false">Inputs!$B$9</f>
        <v>0</v>
      </c>
      <c r="C8" s="2" t="s">
        <v>12</v>
      </c>
    </row>
    <row r="9" customFormat="false" ht="15" hidden="false" customHeight="false" outlineLevel="0" collapsed="false">
      <c r="A9" s="4" t="s">
        <v>13</v>
      </c>
      <c r="B9" s="6" t="n">
        <f aca="false">-'Base Pricing'!$I$14*B8</f>
        <v>-0</v>
      </c>
      <c r="C9" s="2" t="s">
        <v>14</v>
      </c>
    </row>
    <row r="10" customFormat="false" ht="15" hidden="false" customHeight="false" outlineLevel="0" collapsed="false">
      <c r="A10" s="8" t="s">
        <v>15</v>
      </c>
      <c r="B10" s="9" t="n">
        <f aca="false">B7+B9</f>
        <v>995520</v>
      </c>
      <c r="C10" s="10" t="s">
        <v>16</v>
      </c>
    </row>
    <row r="11" customFormat="false" ht="15" hidden="false" customHeight="false" outlineLevel="0" collapsed="false">
      <c r="A11" s="4" t="s">
        <v>17</v>
      </c>
      <c r="B11" s="5" t="n">
        <f aca="false">Inputs!$B$8</f>
        <v>1150000</v>
      </c>
      <c r="C11" s="2" t="s">
        <v>18</v>
      </c>
    </row>
    <row r="12" customFormat="false" ht="15" hidden="false" customHeight="false" outlineLevel="0" collapsed="false">
      <c r="A12" s="8" t="s">
        <v>19</v>
      </c>
      <c r="B12" s="9" t="n">
        <f aca="false">B11-B10</f>
        <v>154480</v>
      </c>
      <c r="C12" s="10" t="s">
        <v>20</v>
      </c>
    </row>
    <row r="13" customFormat="false" ht="15" hidden="false" customHeight="false" outlineLevel="0" collapsed="false">
      <c r="A13" s="4" t="s">
        <v>21</v>
      </c>
      <c r="B13" s="11" t="str">
        <f aca="false">IF(B10&lt;=B11,"Yes","No")</f>
        <v>Yes</v>
      </c>
      <c r="C13" s="2" t="s">
        <v>22</v>
      </c>
    </row>
    <row r="14" customFormat="false" ht="15" hidden="false" customHeight="false" outlineLevel="0" collapsed="false">
      <c r="A14" s="4" t="s">
        <v>23</v>
      </c>
      <c r="B14" s="11" t="str">
        <f aca="false">IF(B8&gt;Inputs!$B$11,"Not allowed",IF(B8&gt;Inputs!$B$10,"VP Sales","No approval needed"))</f>
        <v>No approval needed</v>
      </c>
      <c r="C14" s="2" t="s">
        <v>24</v>
      </c>
    </row>
    <row r="17" customFormat="false" ht="15" hidden="false" customHeight="false" outlineLevel="0" collapsed="false">
      <c r="A17" s="12" t="s">
        <v>25</v>
      </c>
    </row>
    <row r="18" customFormat="false" ht="15" hidden="false" customHeight="false" outlineLevel="0" collapsed="false">
      <c r="A18" s="3" t="s">
        <v>26</v>
      </c>
      <c r="B18" s="3" t="s">
        <v>27</v>
      </c>
      <c r="C18" s="3" t="s">
        <v>28</v>
      </c>
    </row>
    <row r="19" customFormat="false" ht="15" hidden="false" customHeight="false" outlineLevel="0" collapsed="false">
      <c r="A19" s="4" t="s">
        <v>29</v>
      </c>
      <c r="B19" s="6" t="n">
        <f aca="false">'Base Pricing'!F13+SUM('Gap Closure'!D5:D10)+SUM('Gap Closure'!E5:E10)</f>
        <v>616040</v>
      </c>
      <c r="C19" s="2" t="s">
        <v>30</v>
      </c>
    </row>
    <row r="20" customFormat="false" ht="15" hidden="false" customHeight="false" outlineLevel="0" collapsed="false">
      <c r="A20" s="4" t="s">
        <v>31</v>
      </c>
      <c r="B20" s="6" t="n">
        <f aca="false">'Base Pricing'!G13+SUM('Gap Closure'!E5:E10)</f>
        <v>189740</v>
      </c>
      <c r="C20" s="2" t="s">
        <v>32</v>
      </c>
    </row>
    <row r="21" customFormat="false" ht="15" hidden="false" customHeight="false" outlineLevel="0" collapsed="false">
      <c r="A21" s="4" t="s">
        <v>33</v>
      </c>
      <c r="B21" s="6" t="n">
        <f aca="false">'Base Pricing'!H13+SUM('Gap Closure'!E5:E10)</f>
        <v>189740</v>
      </c>
      <c r="C21" s="2" t="s">
        <v>32</v>
      </c>
    </row>
    <row r="22" customFormat="false" ht="15" hidden="false" customHeight="false" outlineLevel="0" collapsed="false">
      <c r="A22" s="4" t="s">
        <v>34</v>
      </c>
      <c r="B22" s="6" t="str">
        <f aca="false">IF(ABS(SUM(B19:B21)-B7)&lt;0.01,"OK","Mismatch")</f>
        <v>OK</v>
      </c>
      <c r="C22" s="2"/>
    </row>
    <row r="25" customFormat="false" ht="15" hidden="false" customHeight="false" outlineLevel="0" collapsed="false">
      <c r="A25" s="12" t="s">
        <v>35</v>
      </c>
    </row>
    <row r="26" customFormat="false" ht="15" hidden="false" customHeight="false" outlineLevel="0" collapsed="false">
      <c r="A26" s="3" t="s">
        <v>36</v>
      </c>
      <c r="B26" s="3" t="s">
        <v>37</v>
      </c>
      <c r="C26" s="3" t="s">
        <v>38</v>
      </c>
    </row>
    <row r="27" customFormat="false" ht="15" hidden="false" customHeight="false" outlineLevel="0" collapsed="false">
      <c r="A27" s="13" t="n">
        <v>0</v>
      </c>
      <c r="B27" s="6" t="n">
        <f aca="false">B$7-'Base Pricing'!$I$14*A27</f>
        <v>995520</v>
      </c>
      <c r="C27" s="6" t="n">
        <f aca="false">B$11-B27</f>
        <v>154480</v>
      </c>
    </row>
    <row r="28" customFormat="false" ht="15" hidden="false" customHeight="false" outlineLevel="0" collapsed="false">
      <c r="A28" s="13" t="n">
        <v>0.05</v>
      </c>
      <c r="B28" s="6" t="n">
        <f aca="false">B$7-'Base Pricing'!$I$14*A28</f>
        <v>975009</v>
      </c>
      <c r="C28" s="6" t="n">
        <f aca="false">B$11-B28</f>
        <v>174991</v>
      </c>
    </row>
    <row r="29" customFormat="false" ht="15" hidden="false" customHeight="false" outlineLevel="0" collapsed="false">
      <c r="A29" s="13" t="n">
        <v>0.08</v>
      </c>
      <c r="B29" s="6" t="n">
        <f aca="false">B$7-'Base Pricing'!$I$14*A29</f>
        <v>962702.4</v>
      </c>
      <c r="C29" s="6" t="n">
        <f aca="false">B$11-B29</f>
        <v>187297.6</v>
      </c>
    </row>
    <row r="30" customFormat="false" ht="15" hidden="false" customHeight="false" outlineLevel="0" collapsed="false">
      <c r="A30" s="13" t="n">
        <v>0.1</v>
      </c>
      <c r="B30" s="6" t="n">
        <f aca="false">B$7-'Base Pricing'!$I$14*A30</f>
        <v>954498</v>
      </c>
      <c r="C30" s="6" t="n">
        <f aca="false">B$11-B30</f>
        <v>195502</v>
      </c>
    </row>
    <row r="31" customFormat="false" ht="15" hidden="false" customHeight="false" outlineLevel="0" collapsed="false">
      <c r="A31" s="13" t="n">
        <v>0.15</v>
      </c>
      <c r="B31" s="6" t="n">
        <f aca="false">B$7-'Base Pricing'!$I$14*A31</f>
        <v>933987</v>
      </c>
      <c r="C31" s="6" t="n">
        <f aca="false">B$11-B31</f>
        <v>216013</v>
      </c>
    </row>
    <row r="33" customFormat="false" ht="15" hidden="false" customHeight="false" outlineLevel="0" collapsed="false">
      <c r="A33" s="2" t="s">
        <v>39</v>
      </c>
    </row>
    <row r="34" customFormat="false" ht="15" hidden="false" customHeight="false" outlineLevel="0" collapsed="false">
      <c r="A34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3</v>
      </c>
      <c r="C4" s="3" t="s">
        <v>44</v>
      </c>
    </row>
    <row r="5" customFormat="false" ht="15" hidden="false" customHeight="false" outlineLevel="0" collapsed="false">
      <c r="A5" s="4" t="s">
        <v>45</v>
      </c>
      <c r="B5" s="14" t="n">
        <v>240</v>
      </c>
      <c r="C5" s="2" t="s">
        <v>46</v>
      </c>
    </row>
    <row r="6" customFormat="false" ht="15" hidden="false" customHeight="false" outlineLevel="0" collapsed="false">
      <c r="A6" s="4" t="s">
        <v>47</v>
      </c>
      <c r="B6" s="14" t="n">
        <v>35</v>
      </c>
      <c r="C6" s="2" t="s">
        <v>46</v>
      </c>
    </row>
    <row r="7" customFormat="false" ht="15" hidden="false" customHeight="false" outlineLevel="0" collapsed="false">
      <c r="A7" s="4" t="s">
        <v>48</v>
      </c>
      <c r="B7" s="14" t="n">
        <v>3</v>
      </c>
      <c r="C7" s="2" t="s">
        <v>18</v>
      </c>
    </row>
    <row r="8" customFormat="false" ht="15" hidden="false" customHeight="false" outlineLevel="0" collapsed="false">
      <c r="A8" s="4" t="s">
        <v>49</v>
      </c>
      <c r="B8" s="15" t="n">
        <v>1150000</v>
      </c>
      <c r="C8" s="2" t="s">
        <v>50</v>
      </c>
    </row>
    <row r="9" customFormat="false" ht="15" hidden="false" customHeight="false" outlineLevel="0" collapsed="false">
      <c r="A9" s="4" t="s">
        <v>51</v>
      </c>
      <c r="B9" s="16" t="n">
        <v>0</v>
      </c>
      <c r="C9" s="2" t="s">
        <v>52</v>
      </c>
    </row>
    <row r="10" customFormat="false" ht="15" hidden="false" customHeight="false" outlineLevel="0" collapsed="false">
      <c r="A10" s="4" t="s">
        <v>53</v>
      </c>
      <c r="B10" s="17" t="n">
        <v>0.1</v>
      </c>
      <c r="C10" s="2" t="s">
        <v>54</v>
      </c>
    </row>
    <row r="11" customFormat="false" ht="15" hidden="false" customHeight="false" outlineLevel="0" collapsed="false">
      <c r="A11" s="4" t="s">
        <v>55</v>
      </c>
      <c r="B11" s="17" t="n">
        <v>0.15</v>
      </c>
      <c r="C11" s="2" t="s">
        <v>54</v>
      </c>
    </row>
    <row r="12" customFormat="false" ht="15" hidden="false" customHeight="false" outlineLevel="0" collapsed="false">
      <c r="A12" s="4" t="s">
        <v>56</v>
      </c>
      <c r="B12" s="17" t="n">
        <v>0.04</v>
      </c>
      <c r="C12" s="2" t="s">
        <v>57</v>
      </c>
    </row>
    <row r="15" customFormat="false" ht="15" hidden="false" customHeight="false" outlineLevel="0" collapsed="false">
      <c r="A1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</row>
    <row r="5" customFormat="false" ht="15" hidden="false" customHeight="false" outlineLevel="0" collapsed="false">
      <c r="A5" s="4" t="s">
        <v>70</v>
      </c>
      <c r="B5" s="4" t="s">
        <v>71</v>
      </c>
      <c r="C5" s="18" t="n">
        <f aca="false">Inputs!$B$5</f>
        <v>240</v>
      </c>
      <c r="D5" s="4" t="s">
        <v>72</v>
      </c>
      <c r="E5" s="19" t="n">
        <v>38</v>
      </c>
      <c r="F5" s="6" t="n">
        <f aca="false">C5*E5*12</f>
        <v>109440</v>
      </c>
      <c r="G5" s="6" t="n">
        <f aca="false">F5</f>
        <v>109440</v>
      </c>
      <c r="H5" s="6" t="n">
        <f aca="false">G5</f>
        <v>109440</v>
      </c>
      <c r="I5" s="6" t="n">
        <f aca="false">SUM(F5:H5)</f>
        <v>328320</v>
      </c>
      <c r="J5" s="2" t="s">
        <v>73</v>
      </c>
    </row>
    <row r="6" customFormat="false" ht="15" hidden="false" customHeight="false" outlineLevel="0" collapsed="false">
      <c r="A6" s="4" t="s">
        <v>74</v>
      </c>
      <c r="B6" s="4" t="s">
        <v>71</v>
      </c>
      <c r="C6" s="18" t="n">
        <f aca="false">Inputs!$B$6</f>
        <v>35</v>
      </c>
      <c r="D6" s="4" t="s">
        <v>72</v>
      </c>
      <c r="E6" s="19" t="n">
        <v>65</v>
      </c>
      <c r="F6" s="6" t="n">
        <f aca="false">C6*E6*12</f>
        <v>27300</v>
      </c>
      <c r="G6" s="6" t="n">
        <f aca="false">F6</f>
        <v>27300</v>
      </c>
      <c r="H6" s="6" t="n">
        <f aca="false">G6</f>
        <v>27300</v>
      </c>
      <c r="I6" s="6" t="n">
        <f aca="false">SUM(F6:H6)</f>
        <v>81900</v>
      </c>
      <c r="J6" s="2" t="s">
        <v>75</v>
      </c>
    </row>
    <row r="7" customFormat="false" ht="15" hidden="false" customHeight="false" outlineLevel="0" collapsed="false">
      <c r="A7" s="4" t="s">
        <v>76</v>
      </c>
      <c r="B7" s="4" t="s">
        <v>77</v>
      </c>
      <c r="C7" s="14" t="n">
        <v>1</v>
      </c>
      <c r="D7" s="4" t="s">
        <v>78</v>
      </c>
      <c r="E7" s="19" t="n">
        <v>9000</v>
      </c>
      <c r="F7" s="6" t="n">
        <f aca="false">C7*E7</f>
        <v>9000</v>
      </c>
      <c r="G7" s="6" t="n">
        <f aca="false">F7</f>
        <v>9000</v>
      </c>
      <c r="H7" s="6" t="n">
        <f aca="false">G7</f>
        <v>9000</v>
      </c>
      <c r="I7" s="6" t="n">
        <f aca="false">SUM(F7:H7)</f>
        <v>27000</v>
      </c>
      <c r="J7" s="2" t="s">
        <v>79</v>
      </c>
    </row>
    <row r="8" customFormat="false" ht="15" hidden="false" customHeight="false" outlineLevel="0" collapsed="false">
      <c r="A8" s="4" t="s">
        <v>80</v>
      </c>
      <c r="B8" s="4" t="s">
        <v>77</v>
      </c>
      <c r="C8" s="14" t="n">
        <v>1</v>
      </c>
      <c r="D8" s="4" t="s">
        <v>78</v>
      </c>
      <c r="E8" s="19" t="n">
        <v>12000</v>
      </c>
      <c r="F8" s="6" t="n">
        <f aca="false">C8*E8</f>
        <v>12000</v>
      </c>
      <c r="G8" s="6" t="n">
        <f aca="false">F8</f>
        <v>12000</v>
      </c>
      <c r="H8" s="6" t="n">
        <f aca="false">G8</f>
        <v>12000</v>
      </c>
      <c r="I8" s="6" t="n">
        <f aca="false">SUM(F8:H8)</f>
        <v>36000</v>
      </c>
      <c r="J8" s="2" t="s">
        <v>81</v>
      </c>
    </row>
    <row r="9" customFormat="false" ht="15" hidden="false" customHeight="false" outlineLevel="0" collapsed="false">
      <c r="A9" s="4" t="s">
        <v>82</v>
      </c>
      <c r="B9" s="4" t="s">
        <v>77</v>
      </c>
      <c r="C9" s="14" t="n">
        <v>1</v>
      </c>
      <c r="D9" s="4" t="s">
        <v>78</v>
      </c>
      <c r="E9" s="19" t="n">
        <v>14000</v>
      </c>
      <c r="F9" s="6" t="n">
        <f aca="false">C9*E9</f>
        <v>14000</v>
      </c>
      <c r="G9" s="6" t="n">
        <f aca="false">F9</f>
        <v>14000</v>
      </c>
      <c r="H9" s="6" t="n">
        <f aca="false">G9</f>
        <v>14000</v>
      </c>
      <c r="I9" s="6" t="n">
        <f aca="false">SUM(F9:H9)</f>
        <v>42000</v>
      </c>
      <c r="J9" s="2" t="s">
        <v>83</v>
      </c>
    </row>
    <row r="10" customFormat="false" ht="15" hidden="false" customHeight="false" outlineLevel="0" collapsed="false">
      <c r="A10" s="4" t="s">
        <v>84</v>
      </c>
      <c r="B10" s="4" t="s">
        <v>85</v>
      </c>
      <c r="C10" s="14" t="n">
        <v>1</v>
      </c>
      <c r="D10" s="4" t="s">
        <v>86</v>
      </c>
      <c r="E10" s="19" t="n">
        <v>96000</v>
      </c>
      <c r="F10" s="6" t="n">
        <f aca="false">C10*E10</f>
        <v>96000</v>
      </c>
      <c r="G10" s="6" t="n">
        <v>0</v>
      </c>
      <c r="H10" s="6" t="n">
        <v>0</v>
      </c>
      <c r="I10" s="6" t="n">
        <f aca="false">SUM(F10:H10)</f>
        <v>96000</v>
      </c>
      <c r="J10" s="2" t="s">
        <v>87</v>
      </c>
    </row>
    <row r="11" customFormat="false" ht="15" hidden="false" customHeight="false" outlineLevel="0" collapsed="false">
      <c r="A11" s="4" t="s">
        <v>88</v>
      </c>
      <c r="B11" s="4" t="s">
        <v>85</v>
      </c>
      <c r="C11" s="14" t="n">
        <v>1</v>
      </c>
      <c r="D11" s="4" t="s">
        <v>86</v>
      </c>
      <c r="E11" s="19" t="n">
        <v>18000</v>
      </c>
      <c r="F11" s="6" t="n">
        <f aca="false">C11*E11</f>
        <v>18000</v>
      </c>
      <c r="G11" s="6" t="n">
        <v>0</v>
      </c>
      <c r="H11" s="6" t="n">
        <v>0</v>
      </c>
      <c r="I11" s="6" t="n">
        <f aca="false">SUM(F11:H11)</f>
        <v>18000</v>
      </c>
      <c r="J11" s="2" t="s">
        <v>89</v>
      </c>
    </row>
    <row r="12" customFormat="false" ht="15" hidden="false" customHeight="false" outlineLevel="0" collapsed="false">
      <c r="A12" s="4" t="s">
        <v>90</v>
      </c>
      <c r="B12" s="4" t="s">
        <v>85</v>
      </c>
      <c r="C12" s="14" t="n">
        <v>12</v>
      </c>
      <c r="D12" s="4" t="s">
        <v>91</v>
      </c>
      <c r="E12" s="19" t="n">
        <v>2400</v>
      </c>
      <c r="F12" s="6" t="n">
        <f aca="false">C12*E12</f>
        <v>28800</v>
      </c>
      <c r="G12" s="6" t="n">
        <v>0</v>
      </c>
      <c r="H12" s="6" t="n">
        <v>0</v>
      </c>
      <c r="I12" s="6" t="n">
        <f aca="false">SUM(F12:H12)</f>
        <v>28800</v>
      </c>
      <c r="J12" s="2" t="s">
        <v>89</v>
      </c>
    </row>
    <row r="13" customFormat="false" ht="15" hidden="false" customHeight="false" outlineLevel="0" collapsed="false">
      <c r="A13" s="20" t="s">
        <v>92</v>
      </c>
      <c r="B13" s="21"/>
      <c r="C13" s="21"/>
      <c r="D13" s="21"/>
      <c r="E13" s="21"/>
      <c r="F13" s="22" t="n">
        <f aca="false">SUM(F5:F12)</f>
        <v>314540</v>
      </c>
      <c r="G13" s="22" t="n">
        <f aca="false">SUM(G5:G12)</f>
        <v>171740</v>
      </c>
      <c r="H13" s="22" t="n">
        <f aca="false">SUM(H5:H12)</f>
        <v>171740</v>
      </c>
      <c r="I13" s="22" t="n">
        <f aca="false">SUM(I5:I12)</f>
        <v>658020</v>
      </c>
    </row>
    <row r="14" customFormat="false" ht="15" hidden="false" customHeight="false" outlineLevel="0" collapsed="false">
      <c r="A14" s="4" t="s">
        <v>93</v>
      </c>
      <c r="I14" s="6" t="n">
        <f aca="false">SUMIFS(I5:I12,B5:B12,"Subscription")</f>
        <v>410220</v>
      </c>
    </row>
    <row r="16" customFormat="false" ht="15" hidden="false" customHeight="false" outlineLevel="0" collapsed="false">
      <c r="A16" s="2" t="s">
        <v>94</v>
      </c>
    </row>
    <row r="17" customFormat="false" ht="15" hidden="false" customHeight="false" outlineLevel="0" collapsed="false">
      <c r="A17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68</v>
      </c>
      <c r="G4" s="3" t="s">
        <v>102</v>
      </c>
      <c r="H4" s="3" t="s">
        <v>103</v>
      </c>
      <c r="I4" s="3" t="s">
        <v>104</v>
      </c>
    </row>
    <row r="5" customFormat="false" ht="23.85" hidden="false" customHeight="false" outlineLevel="0" collapsed="false">
      <c r="A5" s="23" t="s">
        <v>105</v>
      </c>
      <c r="B5" s="23" t="s">
        <v>106</v>
      </c>
      <c r="C5" s="23" t="s">
        <v>107</v>
      </c>
      <c r="D5" s="24" t="n">
        <v>85000</v>
      </c>
      <c r="E5" s="24" t="n">
        <v>0</v>
      </c>
      <c r="F5" s="6" t="n">
        <f aca="false">D5+E5*Inputs!$B$7</f>
        <v>85000</v>
      </c>
      <c r="G5" s="23" t="s">
        <v>108</v>
      </c>
      <c r="H5" s="23" t="s">
        <v>109</v>
      </c>
      <c r="I5" s="23" t="s">
        <v>110</v>
      </c>
    </row>
    <row r="6" customFormat="false" ht="23.85" hidden="false" customHeight="false" outlineLevel="0" collapsed="false">
      <c r="A6" s="23" t="s">
        <v>111</v>
      </c>
      <c r="B6" s="23" t="s">
        <v>112</v>
      </c>
      <c r="C6" s="23" t="s">
        <v>113</v>
      </c>
      <c r="D6" s="24" t="n">
        <v>32000</v>
      </c>
      <c r="E6" s="24" t="n">
        <v>0</v>
      </c>
      <c r="F6" s="6" t="n">
        <f aca="false">D6+E6*Inputs!$B$7</f>
        <v>32000</v>
      </c>
      <c r="G6" s="23" t="s">
        <v>114</v>
      </c>
      <c r="H6" s="23" t="s">
        <v>109</v>
      </c>
      <c r="I6" s="23" t="s">
        <v>115</v>
      </c>
    </row>
    <row r="7" customFormat="false" ht="23.85" hidden="false" customHeight="false" outlineLevel="0" collapsed="false">
      <c r="A7" s="23" t="s">
        <v>111</v>
      </c>
      <c r="B7" s="23" t="s">
        <v>116</v>
      </c>
      <c r="C7" s="23" t="s">
        <v>117</v>
      </c>
      <c r="D7" s="24" t="n">
        <v>6500</v>
      </c>
      <c r="E7" s="24" t="n">
        <v>0</v>
      </c>
      <c r="F7" s="6" t="n">
        <f aca="false">D7+E7*Inputs!$B$7</f>
        <v>6500</v>
      </c>
      <c r="G7" s="23" t="s">
        <v>118</v>
      </c>
      <c r="H7" s="23" t="s">
        <v>119</v>
      </c>
      <c r="I7" s="23" t="s">
        <v>120</v>
      </c>
    </row>
    <row r="8" customFormat="false" ht="23.85" hidden="false" customHeight="false" outlineLevel="0" collapsed="false">
      <c r="A8" s="23" t="s">
        <v>121</v>
      </c>
      <c r="B8" s="23" t="s">
        <v>122</v>
      </c>
      <c r="C8" s="23" t="s">
        <v>123</v>
      </c>
      <c r="D8" s="24" t="n">
        <v>40000</v>
      </c>
      <c r="E8" s="24" t="n">
        <v>0</v>
      </c>
      <c r="F8" s="6" t="n">
        <f aca="false">D8+E8*Inputs!$B$7</f>
        <v>40000</v>
      </c>
      <c r="G8" s="23" t="s">
        <v>124</v>
      </c>
      <c r="H8" s="23" t="s">
        <v>109</v>
      </c>
      <c r="I8" s="23" t="s">
        <v>125</v>
      </c>
    </row>
    <row r="9" customFormat="false" ht="23.85" hidden="false" customHeight="false" outlineLevel="0" collapsed="false">
      <c r="A9" s="23" t="s">
        <v>126</v>
      </c>
      <c r="B9" s="23" t="s">
        <v>127</v>
      </c>
      <c r="C9" s="23" t="s">
        <v>128</v>
      </c>
      <c r="D9" s="24" t="n">
        <v>120000</v>
      </c>
      <c r="E9" s="24" t="n">
        <v>18000</v>
      </c>
      <c r="F9" s="6" t="n">
        <f aca="false">D9+E9*Inputs!$B$7</f>
        <v>174000</v>
      </c>
      <c r="G9" s="23" t="s">
        <v>129</v>
      </c>
      <c r="H9" s="23" t="s">
        <v>130</v>
      </c>
      <c r="I9" s="23" t="s">
        <v>131</v>
      </c>
    </row>
    <row r="10" customFormat="false" ht="23.85" hidden="false" customHeight="false" outlineLevel="0" collapsed="false">
      <c r="A10" s="23" t="s">
        <v>132</v>
      </c>
      <c r="B10" s="23" t="s">
        <v>133</v>
      </c>
      <c r="C10" s="23" t="s">
        <v>134</v>
      </c>
      <c r="D10" s="24" t="n">
        <v>0</v>
      </c>
      <c r="E10" s="24" t="n">
        <v>0</v>
      </c>
      <c r="F10" s="6" t="n">
        <f aca="false">D10+E10*Inputs!$B$7</f>
        <v>0</v>
      </c>
      <c r="G10" s="23" t="s">
        <v>135</v>
      </c>
      <c r="H10" s="23" t="s">
        <v>136</v>
      </c>
      <c r="I10" s="23" t="s">
        <v>137</v>
      </c>
    </row>
    <row r="11" customFormat="false" ht="15" hidden="false" customHeight="false" outlineLevel="0" collapsed="false">
      <c r="A11" s="21"/>
      <c r="B11" s="20" t="s">
        <v>138</v>
      </c>
      <c r="C11" s="21"/>
      <c r="D11" s="22" t="n">
        <f aca="false">SUM(D5:D10)</f>
        <v>283500</v>
      </c>
      <c r="E11" s="22" t="n">
        <f aca="false">SUM(E5:E10)</f>
        <v>18000</v>
      </c>
      <c r="F11" s="22" t="n">
        <f aca="false">SUM(F5:F10)</f>
        <v>337500</v>
      </c>
      <c r="G11" s="21"/>
      <c r="H11" s="21"/>
      <c r="I11" s="21"/>
    </row>
    <row r="13" customFormat="false" ht="15" hidden="false" customHeight="false" outlineLevel="0" collapsed="false">
      <c r="B13" s="2" t="s">
        <v>139</v>
      </c>
    </row>
    <row r="14" customFormat="false" ht="15" hidden="false" customHeight="false" outlineLevel="0" collapsed="false">
      <c r="B14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2026-10-03T21:39:49Z</dcterms:created>
  <dc:creator>openpyxl</dc:creator>
  <dc:description/>
  <dc:language>en-US</dc:language>
  <cp:lastModifiedBy/>
  <dcterms:modified xsi:type="dcterms:W3CDTF">2026-10-03T21:39:49Z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